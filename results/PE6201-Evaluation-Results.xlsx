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d786ea170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628d2d19b34987"/>
    <x:sheet xmlns:r="http://schemas.openxmlformats.org/officeDocument/2006/relationships" name="Case Results" sheetId="2" r:id="Re2798e33e6fd4224"/>
    <x:sheet xmlns:r="http://schemas.openxmlformats.org/officeDocument/2006/relationships" name="Rubric" sheetId="3" r:id="R3ded08e86940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$0.0000"/>
    <x:numFmt numFmtId="203" formatCode="0%"/>
  </x:numFmts>
  <x:fonts count="7">
    <x:font>
      <x:sz val="11"/>
      <x:name val="Carlito"/>
    </x:font>
    <x:font>
      <x:sz val="10"/>
      <x:color rgb="FF202124"/>
      <x:name val="Arial"/>
    </x:font>
    <x:font>
      <x:b/>
      <x:sz val="15"/>
      <x:color rgb="FF17365D"/>
      <x:name val="Arial"/>
    </x:font>
    <x:font>
      <x:i/>
      <x:sz val="9"/>
      <x:color rgb="FF5F6B75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3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1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right style="thin">
        <x:color rgb="FFFFFFFF"/>
      </x:right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right style="thin">
        <x:color rgb="FFFFFFFF"/>
      </x:right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right style="thin">
        <x:color rgb="FFD7E1EA"/>
      </x:right>
      <x:top style="thin">
        <x:color rgb="FFD7E1EA"/>
      </x:top>
    </x:border>
    <x:border>
      <x:left style="thin">
        <x:color rgb="FFD7E1EA"/>
      </x:left>
      <x:right style="thin">
        <x:color rgb="FFFFFFFF"/>
      </x:right>
      <x:top style="thin">
        <x:color rgb="FFD7E1EA"/>
      </x:top>
    </x:border>
    <x:border>
      <x:left style="thin">
        <x:color rgb="FFD7E1EA"/>
      </x:left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horizontal="left"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top"/>
    </x:xf>
    <x:xf numFmtId="0" fontId="1" fillId="0" borderId="8" xfId="0" applyNumberFormat="1" applyFont="1" applyFill="1" applyBorder="1" applyAlignment="1">
      <x:alignment horizontal="left" vertical="top"/>
    </x:xf>
    <x:xf numFmtId="0" fontId="1" fillId="0" borderId="8" xfId="0" applyNumberFormat="1" applyFont="1" applyFill="1" applyBorder="1" applyAlignment="1">
      <x:alignment horizontal="center" vertical="top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horizontal="center" vertical="top"/>
    </x:xf>
    <x:xf numFmtId="0" fontId="1" fillId="0" borderId="11" xfId="0" applyNumberFormat="1" applyFont="1" applyFill="1" applyBorder="1" applyAlignment="1">
      <x:alignment horizontal="left" vertical="top"/>
    </x:xf>
    <x:xf numFmtId="0" fontId="1" fillId="0" borderId="11" xfId="0" applyNumberFormat="1" applyFont="1" applyFill="1" applyBorder="1" applyAlignment="1">
      <x:alignment horizontal="center" vertical="top"/>
    </x:xf>
    <x:xf numFmtId="0" fontId="1" fillId="0" borderId="12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13" xfId="0" applyNumberFormat="1" applyFont="1" applyFill="1" applyBorder="1"/>
    <x:xf numFmtId="0" fontId="1" fillId="0" borderId="7" xfId="0" applyNumberFormat="1" applyFont="1" applyFill="1" applyBorder="1"/>
    <x:xf numFmtId="0" fontId="1" fillId="0" borderId="14" xfId="0" applyNumberFormat="1" applyFont="1" applyFill="1" applyBorder="1"/>
    <x:xf numFmtId="0" fontId="1" fillId="0" borderId="10" xfId="0" applyNumberFormat="1" applyFont="1" applyFill="1" applyBorder="1"/>
    <x:xf numFmtId="0" fontId="1" fillId="0" borderId="15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200" fontId="6" fillId="3" borderId="0" xfId="0" applyNumberFormat="1" applyFont="1" applyFill="1" applyBorder="1" applyAlignment="1">
      <x:alignment horizontal="center"/>
    </x:xf>
    <x:xf numFmtId="201" fontId="6" fillId="3" borderId="0" xfId="0" applyNumberFormat="1" applyFont="1" applyFill="1" applyBorder="1" applyAlignment="1">
      <x:alignment horizontal="center"/>
    </x:xf>
    <x:xf numFmtId="202" fontId="6" fillId="3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/>
    <x:xf numFmtId="0" fontId="4" fillId="2" borderId="4" xfId="0" applyNumberFormat="1" applyFont="1" applyFill="1" applyBorder="1" applyAlignment="1">
      <x:alignment horizontal="center"/>
    </x:xf>
    <x:xf numFmtId="0" fontId="4" fillId="2" borderId="5" xfId="0" applyNumberFormat="1" applyFont="1" applyFill="1" applyBorder="1" applyAlignment="1">
      <x:alignment horizontal="center"/>
    </x:xf>
    <x:xf numFmtId="0" fontId="4" fillId="2" borderId="13" xfId="0" applyNumberFormat="1" applyFont="1" applyFill="1" applyBorder="1" applyAlignment="1">
      <x:alignment horizontal="center"/>
    </x:xf>
    <x:xf numFmtId="203" fontId="1" fillId="0" borderId="8" xfId="0" applyNumberFormat="1" applyFont="1" applyFill="1" applyBorder="1"/>
    <x:xf numFmtId="203" fontId="1" fillId="0" borderId="14" xfId="0" applyNumberFormat="1" applyFont="1" applyFill="1" applyBorder="1"/>
    <x:xf numFmtId="203" fontId="1" fillId="0" borderId="11" xfId="0" applyNumberFormat="1" applyFont="1" applyFill="1" applyBorder="1"/>
    <x:xf numFmtId="203" fontId="1" fillId="0" borderId="15" xfId="0" applyNumberFormat="1" applyFont="1" applyFill="1" applyBorder="1"/>
    <x:xf numFmtId="201" fontId="1" fillId="0" borderId="0" xfId="0" applyNumberFormat="1" applyFont="1" applyFill="1" applyBorder="1"/>
    <x:xf numFmtId="201" fontId="1" fillId="0" borderId="8" xfId="0" applyNumberFormat="1" applyFont="1" applyFill="1" applyBorder="1"/>
    <x:xf numFmtId="201" fontId="1" fillId="0" borderId="11" xfId="0" applyNumberFormat="1" applyFont="1" applyFill="1" applyBorder="1"/>
    <x:xf numFmtId="202" fontId="1" fillId="0" borderId="0" xfId="0" applyNumberFormat="1" applyFont="1" applyFill="1" applyBorder="1"/>
    <x:xf numFmtId="202" fontId="1" fillId="0" borderId="8" xfId="0" applyNumberFormat="1" applyFont="1" applyFill="1" applyBorder="1"/>
    <x:xf numFmtId="202" fontId="1" fillId="0" borderId="14" xfId="0" applyNumberFormat="1" applyFont="1" applyFill="1" applyBorder="1"/>
    <x:xf numFmtId="201" fontId="1" fillId="0" borderId="15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A61B1B"/>
      </x:font>
      <x:fill>
        <x:patternFill patternType="solid">
          <x:bgColor rgb="FFFBE9E7"/>
        </x:patternFill>
      </x:fill>
    </x:dxf>
    <x:dxf>
      <x:fill>
        <x:patternFill patternType="solid">
          <x:bgColor rgb="FFE8F3EA"/>
        </x:patternFill>
      </x:fill>
    </x:dxf>
    <x:dxf>
      <x:fill>
        <x:patternFill patternType="solid">
          <x:bgColor rgb="FFE8F3EA"/>
        </x:patternFill>
      </x:fill>
    </x:dxf>
    <x:dxf>
      <x:font>
        <x:b/>
        <x:color rgb="FF1E6B36"/>
      </x:font>
      <x:fill>
        <x:patternFill patternType="solid">
          <x:bgColor rgb="FFE8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566b6765b4b08" /><Relationship Type="http://schemas.openxmlformats.org/officeDocument/2006/relationships/theme" Target="/xl/theme/theme1.xml" Id="R8e0f4a53c59648fb" /><Relationship Type="http://schemas.openxmlformats.org/officeDocument/2006/relationships/sharedStrings" Target="/xl/sharedStrings.xml" Id="Rf2022d30f62048dc" /><Relationship Type="http://schemas.openxmlformats.org/officeDocument/2006/relationships/worksheet" Target="/xl/worksheets/sheet1.xml" Id="R1b628d2d19b34987" /><Relationship Type="http://schemas.openxmlformats.org/officeDocument/2006/relationships/worksheet" Target="/xl/worksheets/sheet2.xml" Id="Re2798e33e6fd4224" /><Relationship Type="http://schemas.openxmlformats.org/officeDocument/2006/relationships/worksheet" Target="/xl/worksheets/sheet3.xml" Id="R3ded08e869404e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5111e557704e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Rubric pass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Structured pass rate</c:v>
          </c:tx>
          <c:cat>
            <c:strRef>
              <c:f>'Summary'!$A$10:$A$14</c:f>
              <c:strCache>
                <c:ptCount val="0"/>
              </c:strCache>
            </c:strRef>
          </c:cat>
          <c:val>
            <c:numRef>
              <c:f>'Summary'!$B$10:$B$14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Raw pass rate</c:v>
          </c:tx>
          <c:cat>
            <c:strRef>
              <c:f>'Summary'!$A$10:$A$14</c:f>
              <c:strCache>
                <c:ptCount val="0"/>
              </c:strCache>
            </c:strRef>
          </c:cat>
          <c:val>
            <c:numRef>
              <c:f>'Summary'!$C$10:$C$14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5111e557704e6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13b86d16894f4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2" t="str">
        <x:v>Enterprise AI Pilot Planning Assistant: evaluation results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Ten synthetic SME cases. Structured workflow versus direct raw-model request. Final scores use the strict five-item 0/1 rubric.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33" t="str">
        <x:v>Cases</x:v>
      </x:c>
      <x:c r="B5" s="33" t="str">
        <x:v>Structured mean</x:v>
      </x:c>
      <x:c r="C5" s="33" t="str">
        <x:v>Raw mean</x:v>
      </x:c>
      <x:c r="D5" s="33" t="str">
        <x:v>Mean difference</x:v>
      </x:c>
      <x:c r="E5" s="33" t="str">
        <x:v>Experiment API cost (USD)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58" t="n">
        <x:f>COUNTA('Case Results'!A7:A16)</x:f>
        <x:v>10</x:v>
      </x:c>
      <x:c r="B6" s="59" t="n">
        <x:f>AVERAGE('Case Results'!H7:H16)</x:f>
        <x:v>5</x:v>
      </x:c>
      <x:c r="C6" s="59" t="n">
        <x:f>AVERAGE('Case Results'!N7:N16)</x:f>
        <x:v>3.1</x:v>
      </x:c>
      <x:c r="D6" s="59" t="n">
        <x:f>B6-C6</x:f>
        <x:v>1.9</x:v>
      </x:c>
      <x:c r="E6" s="60" t="n">
        <x:v>0.0344564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62" t="str">
        <x:v>Criterion</x:v>
      </x:c>
      <x:c r="B9" s="63" t="str">
        <x:v>Structured pass rate</x:v>
      </x:c>
      <x:c r="C9" s="64" t="str">
        <x:v>Raw pass rate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37" t="str">
        <x:v>Test group named</x:v>
      </x:c>
      <x:c r="B10" s="65" t="n">
        <x:f>AVERAGE('Case Results'!C7:C16)</x:f>
        <x:v>1</x:v>
      </x:c>
      <x:c r="C10" s="66" t="n">
        <x:f>AVERAGE('Case Results'!I7:I16)</x:f>
        <x:v>1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37" t="str">
        <x:v>Stages dated</x:v>
      </x:c>
      <x:c r="B11" s="65" t="n">
        <x:f>AVERAGE('Case Results'!D7:D16)</x:f>
        <x:v>1</x:v>
      </x:c>
      <x:c r="C11" s="66" t="n">
        <x:f>AVERAGE('Case Results'!J7:J16)</x:f>
        <x:v>1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37" t="str">
        <x:v>Success metric</x:v>
      </x:c>
      <x:c r="B12" s="65" t="n">
        <x:f>AVERAGE('Case Results'!E7:E16)</x:f>
        <x:v>1</x:v>
      </x:c>
      <x:c r="C12" s="66" t="n">
        <x:f>AVERAGE('Case Results'!K7:K16)</x:f>
        <x:v>0.4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37" t="str">
        <x:v>Feedback instrument</x:v>
      </x:c>
      <x:c r="B13" s="65" t="n">
        <x:f>AVERAGE('Case Results'!F7:F16)</x:f>
        <x:v>1</x:v>
      </x:c>
      <x:c r="C13" s="66" t="n">
        <x:f>AVERAGE('Case Results'!L7:L16)</x:f>
        <x:v>0.4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39" t="str">
        <x:v>Human checkpoint</x:v>
      </x:c>
      <x:c r="B14" s="67" t="n">
        <x:f>AVERAGE('Case Results'!G7:G16)</x:f>
        <x:v>1</x:v>
      </x:c>
      <x:c r="C14" s="68" t="n">
        <x:f>AVERAGE('Case Results'!M7:M16)</x:f>
        <x:v>0.3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62" t="str">
        <x:v>Proposal target</x:v>
      </x:c>
      <x:c r="B17" s="63" t="str">
        <x:v>Actual</x:v>
      </x:c>
      <x:c r="C17" s="64" t="str">
        <x:v>Status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37" t="str">
        <x:v>Structured mean at least 4.0/5</x:v>
      </x:c>
      <x:c r="B18" s="70" t="n">
        <x:f>B6</x:f>
        <x:v>5</x:v>
      </x:c>
      <x:c r="C18" s="38" t="str">
        <x:f>IF(B18&gt;=4,"Met","Not met")</x:f>
        <x:v>Met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39" t="str">
        <x:v>Mean improvement at least 1.0 point</x:v>
      </x:c>
      <x:c r="B19" s="71" t="n">
        <x:f>D6</x:f>
        <x:v>1.9</x:v>
      </x:c>
      <x:c r="C19" s="40" t="str">
        <x:f>IF(B19&gt;=1,"Met","Not met")</x:f>
        <x:v>Met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62" t="str">
        <x:v>Operating measure</x:v>
      </x:c>
      <x:c r="B22" s="63" t="str">
        <x:v>Structured</x:v>
      </x:c>
      <x:c r="C22" s="64" t="str">
        <x:v>Raw baseline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37" t="str">
        <x:v>Generation cost for 10 cases (USD)</x:v>
      </x:c>
      <x:c r="B23" s="73" t="n">
        <x:v>0.0085316</x:v>
      </x:c>
      <x:c r="C23" s="74" t="n">
        <x:v>0.0127564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37" t="str">
        <x:v>Generation cost per output (USD)</x:v>
      </x:c>
      <x:c r="B24" s="73" t="n">
        <x:v>0.00085316</x:v>
      </x:c>
      <x:c r="C24" s="74" t="n">
        <x:v>0.00127564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39" t="str">
        <x:v>Mean generation latency (seconds)</x:v>
      </x:c>
      <x:c r="B25" s="71" t="n">
        <x:v>5.4546</x:v>
      </x:c>
      <x:c r="C25" s="75" t="n">
        <x:v>7.2022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76" t="str">
        <x:v>The experiment API cost includes 20 generation calls and 20 scoring calls. Application operating cost is represented by the structured generation cost per output above.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mergeCells>
    <x:mergeCell ref="A2:H2"/>
    <x:mergeCell ref="A3:H3"/>
    <x:mergeCell ref="A27:C27"/>
  </x:mergeCells>
  <x:conditionalFormatting sqref="C18:C19">
    <x:cfRule type="containsText" dxfId="3" priority="1" operator="containsText" text="Met"/>
  </x:conditionalFormatting>
  <x:pageMargins left="0.7" right="0.7" top="0.75" bottom="0.75" header="0.3" footer="0.3"/>
  <x:drawing xmlns:r="http://schemas.openxmlformats.org/officeDocument/2006/relationships" r:id="Rfd13b86d16894f47"/>
</x:worksheet>
</file>

<file path=xl/worksheets/sheet2.xml><?xml version="1.0" encoding="utf-8"?>
<x:worksheet xmlns:x="http://schemas.openxmlformats.org/spreadsheetml/2006/main">
  <x:sheetPr>
    <x:tabColor rgb="FF2F6FA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2" hidden="0" customWidth="1"/>
    <x:col min="15" max="15" width="12" hidden="0" customWidth="1"/>
    <x:col min="16" max="16" width="4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PE6201 evaluation: case-level scores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Final scores are a strict manual adjudication of the saved model outputs. Each criterion is binary: 1 = explicitly meets the rubric, 0 = does not.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40" customHeight="1">
      <x:c r="A6" s="22" t="str">
        <x:v>Case</x:v>
      </x:c>
      <x:c r="B6" s="23" t="str">
        <x:v>Industry</x:v>
      </x:c>
      <x:c r="C6" s="23" t="str">
        <x:v>Structured: group</x:v>
      </x:c>
      <x:c r="D6" s="23" t="str">
        <x:v>Structured: dates</x:v>
      </x:c>
      <x:c r="E6" s="23" t="str">
        <x:v>Structured: metric</x:v>
      </x:c>
      <x:c r="F6" s="23" t="str">
        <x:v>Structured: feedback</x:v>
      </x:c>
      <x:c r="G6" s="23" t="str">
        <x:v>Structured: human</x:v>
      </x:c>
      <x:c r="H6" s="23" t="str">
        <x:v>Structured total</x:v>
      </x:c>
      <x:c r="I6" s="23" t="str">
        <x:v>Raw: group</x:v>
      </x:c>
      <x:c r="J6" s="23" t="str">
        <x:v>Raw: dates</x:v>
      </x:c>
      <x:c r="K6" s="23" t="str">
        <x:v>Raw: metric</x:v>
      </x:c>
      <x:c r="L6" s="23" t="str">
        <x:v>Raw: feedback</x:v>
      </x:c>
      <x:c r="M6" s="23" t="str">
        <x:v>Raw: human</x:v>
      </x:c>
      <x:c r="N6" s="23" t="str">
        <x:v>Raw total</x:v>
      </x:c>
      <x:c r="O6" s="23" t="str">
        <x:v>Difference</x:v>
      </x:c>
      <x:c r="P6" s="24" t="str">
        <x:v>Adjudication note</x:v>
      </x:c>
      <x:c r="Q6" s="1"/>
    </x:row>
    <x:row r="7" ht="45" customHeight="1">
      <x:c r="A7" s="25" t="str">
        <x:v>C01</x:v>
      </x:c>
      <x:c r="B7" s="26" t="str">
        <x:v>Fashion retail</x:v>
      </x:c>
      <x:c r="C7" s="27" t="n">
        <x:v>1</x:v>
      </x:c>
      <x:c r="D7" s="27" t="n">
        <x:v>1</x:v>
      </x:c>
      <x:c r="E7" s="27" t="n">
        <x:v>1</x:v>
      </x:c>
      <x:c r="F7" s="27" t="n">
        <x:v>1</x:v>
      </x:c>
      <x:c r="G7" s="27" t="n">
        <x:v>1</x:v>
      </x:c>
      <x:c r="H7" s="27" t="n">
        <x:f>SUM(C7:G7)</x:f>
        <x:v>5</x:v>
      </x:c>
      <x:c r="I7" s="27" t="n">
        <x:v>1</x:v>
      </x:c>
      <x:c r="J7" s="27" t="n">
        <x:v>1</x:v>
      </x:c>
      <x:c r="K7" s="27" t="n">
        <x:v>0</x:v>
      </x:c>
      <x:c r="L7" s="27" t="n">
        <x:v>1</x:v>
      </x:c>
      <x:c r="M7" s="27" t="n">
        <x:v>0</x:v>
      </x:c>
      <x:c r="N7" s="27" t="n">
        <x:f>SUM(I7:M7)</x:f>
        <x:v>3</x:v>
      </x:c>
      <x:c r="O7" s="27" t="n">
        <x:f>H7-N7</x:f>
        <x:v>2</x:v>
      </x:c>
      <x:c r="P7" s="28" t="str">
        <x:v>No numeric target/baseline; no rollout approval checkpoint.</x:v>
      </x:c>
      <x:c r="Q7" s="1"/>
    </x:row>
    <x:row r="8" ht="45" customHeight="1">
      <x:c r="A8" s="25" t="str">
        <x:v>C02</x:v>
      </x:c>
      <x:c r="B8" s="26" t="str">
        <x:v>Accounting</x:v>
      </x:c>
      <x:c r="C8" s="27" t="n">
        <x:v>1</x:v>
      </x:c>
      <x:c r="D8" s="27" t="n">
        <x:v>1</x:v>
      </x:c>
      <x:c r="E8" s="27" t="n">
        <x:v>1</x:v>
      </x:c>
      <x:c r="F8" s="27" t="n">
        <x:v>1</x:v>
      </x:c>
      <x:c r="G8" s="27" t="n">
        <x:v>1</x:v>
      </x:c>
      <x:c r="H8" s="27" t="n">
        <x:f>SUM(C8:G8)</x:f>
        <x:v>5</x:v>
      </x:c>
      <x:c r="I8" s="27" t="n">
        <x:v>1</x:v>
      </x:c>
      <x:c r="J8" s="27" t="n">
        <x:v>1</x:v>
      </x:c>
      <x:c r="K8" s="27" t="n">
        <x:v>1</x:v>
      </x:c>
      <x:c r="L8" s="27" t="n">
        <x:v>1</x:v>
      </x:c>
      <x:c r="M8" s="27" t="n">
        <x:v>0</x:v>
      </x:c>
      <x:c r="N8" s="27" t="n">
        <x:f>SUM(I8:M8)</x:f>
        <x:v>4</x:v>
      </x:c>
      <x:c r="O8" s="27" t="n">
        <x:f>H8-N8</x:f>
        <x:v>1</x:v>
      </x:c>
      <x:c r="P8" s="28" t="str">
        <x:v>Metrics compare with manual work; output review is not a rollout approval gate.</x:v>
      </x:c>
      <x:c r="Q8" s="1"/>
    </x:row>
    <x:row r="9" ht="45" customHeight="1">
      <x:c r="A9" s="25" t="str">
        <x:v>C03</x:v>
      </x:c>
      <x:c r="B9" s="26" t="str">
        <x:v>Logistics</x:v>
      </x:c>
      <x:c r="C9" s="27" t="n">
        <x:v>1</x:v>
      </x:c>
      <x:c r="D9" s="27" t="n">
        <x:v>1</x:v>
      </x:c>
      <x:c r="E9" s="27" t="n">
        <x:v>1</x:v>
      </x:c>
      <x:c r="F9" s="27" t="n">
        <x:v>1</x:v>
      </x:c>
      <x:c r="G9" s="27" t="n">
        <x:v>1</x:v>
      </x:c>
      <x:c r="H9" s="27" t="n">
        <x:f>SUM(C9:G9)</x:f>
        <x:v>5</x:v>
      </x:c>
      <x:c r="I9" s="27" t="n">
        <x:v>1</x:v>
      </x:c>
      <x:c r="J9" s="27" t="n">
        <x:v>1</x:v>
      </x:c>
      <x:c r="K9" s="27" t="n">
        <x:v>0</x:v>
      </x:c>
      <x:c r="L9" s="27" t="n">
        <x:v>1</x:v>
      </x:c>
      <x:c r="M9" s="27" t="n">
        <x:v>0</x:v>
      </x:c>
      <x:c r="N9" s="27" t="n">
        <x:f>SUM(I9:M9)</x:f>
        <x:v>3</x:v>
      </x:c>
      <x:c r="O9" s="27" t="n">
        <x:f>H9-N9</x:f>
        <x:v>2</x:v>
      </x:c>
      <x:c r="P9" s="28" t="str">
        <x:v>No numeric target/baseline; manual review is not tied to rollout approval.</x:v>
      </x:c>
      <x:c r="Q9" s="1"/>
    </x:row>
    <x:row r="10" ht="45" customHeight="1">
      <x:c r="A10" s="25" t="str">
        <x:v>C04</x:v>
      </x:c>
      <x:c r="B10" s="26" t="str">
        <x:v>Training</x:v>
      </x:c>
      <x:c r="C10" s="27" t="n">
        <x:v>1</x:v>
      </x:c>
      <x:c r="D10" s="27" t="n">
        <x:v>1</x:v>
      </x:c>
      <x:c r="E10" s="27" t="n">
        <x:v>1</x:v>
      </x:c>
      <x:c r="F10" s="27" t="n">
        <x:v>1</x:v>
      </x:c>
      <x:c r="G10" s="27" t="n">
        <x:v>1</x:v>
      </x:c>
      <x:c r="H10" s="27" t="n">
        <x:f>SUM(C10:G10)</x:f>
        <x:v>5</x:v>
      </x:c>
      <x:c r="I10" s="27" t="n">
        <x:v>1</x:v>
      </x:c>
      <x:c r="J10" s="27" t="n">
        <x:v>1</x:v>
      </x:c>
      <x:c r="K10" s="27" t="n">
        <x:v>0</x:v>
      </x:c>
      <x:c r="L10" s="27" t="n">
        <x:v>0</x:v>
      </x:c>
      <x:c r="M10" s="27" t="n">
        <x:v>0</x:v>
      </x:c>
      <x:c r="N10" s="27" t="n">
        <x:f>SUM(I10:M10)</x:f>
        <x:v>2</x:v>
      </x:c>
      <x:c r="O10" s="27" t="n">
        <x:f>H10-N10</x:f>
        <x:v>3</x:v>
      </x:c>
      <x:c r="P10" s="28" t="str">
        <x:v>No numeric target/baseline, named feedback instrument, or approval gate.</x:v>
      </x:c>
      <x:c r="Q10" s="1"/>
    </x:row>
    <x:row r="11" ht="45" customHeight="1">
      <x:c r="A11" s="25" t="str">
        <x:v>C05</x:v>
      </x:c>
      <x:c r="B11" s="26" t="str">
        <x:v>Restaurant</x:v>
      </x:c>
      <x:c r="C11" s="27" t="n">
        <x:v>1</x:v>
      </x:c>
      <x:c r="D11" s="27" t="n">
        <x:v>1</x:v>
      </x:c>
      <x:c r="E11" s="27" t="n">
        <x:v>1</x:v>
      </x:c>
      <x:c r="F11" s="27" t="n">
        <x:v>1</x:v>
      </x:c>
      <x:c r="G11" s="27" t="n">
        <x:v>1</x:v>
      </x:c>
      <x:c r="H11" s="27" t="n">
        <x:f>SUM(C11:G11)</x:f>
        <x:v>5</x:v>
      </x:c>
      <x:c r="I11" s="27" t="n">
        <x:v>1</x:v>
      </x:c>
      <x:c r="J11" s="27" t="n">
        <x:v>1</x:v>
      </x:c>
      <x:c r="K11" s="27" t="n">
        <x:v>0</x:v>
      </x:c>
      <x:c r="L11" s="27" t="n">
        <x:v>0</x:v>
      </x:c>
      <x:c r="M11" s="27" t="n">
        <x:v>0</x:v>
      </x:c>
      <x:c r="N11" s="27" t="n">
        <x:f>SUM(I11:M11)</x:f>
        <x:v>2</x:v>
      </x:c>
      <x:c r="O11" s="27" t="n">
        <x:f>H11-N11</x:f>
        <x:v>3</x:v>
      </x:c>
      <x:c r="P11" s="28" t="str">
        <x:v>Accuracy target has no baseline; feedback and spot checks are not a formal instrument/gate.</x:v>
      </x:c>
      <x:c r="Q11" s="1"/>
    </x:row>
    <x:row r="12" ht="45" customHeight="1">
      <x:c r="A12" s="25" t="str">
        <x:v>C06</x:v>
      </x:c>
      <x:c r="B12" s="26" t="str">
        <x:v>Design studio</x:v>
      </x:c>
      <x:c r="C12" s="27" t="n">
        <x:v>1</x:v>
      </x:c>
      <x:c r="D12" s="27" t="n">
        <x:v>1</x:v>
      </x:c>
      <x:c r="E12" s="27" t="n">
        <x:v>1</x:v>
      </x:c>
      <x:c r="F12" s="27" t="n">
        <x:v>1</x:v>
      </x:c>
      <x:c r="G12" s="27" t="n">
        <x:v>1</x:v>
      </x:c>
      <x:c r="H12" s="27" t="n">
        <x:f>SUM(C12:G12)</x:f>
        <x:v>5</x:v>
      </x:c>
      <x:c r="I12" s="27" t="n">
        <x:v>1</x:v>
      </x:c>
      <x:c r="J12" s="27" t="n">
        <x:v>1</x:v>
      </x:c>
      <x:c r="K12" s="27" t="n">
        <x:v>1</x:v>
      </x:c>
      <x:c r="L12" s="27" t="n">
        <x:v>0</x:v>
      </x:c>
      <x:c r="M12" s="27" t="n">
        <x:v>1</x:v>
      </x:c>
      <x:c r="N12" s="27" t="n">
        <x:f>SUM(I12:M12)</x:f>
        <x:v>4</x:v>
      </x:c>
      <x:c r="O12" s="27" t="n">
        <x:f>H12-N12</x:f>
        <x:v>1</x:v>
      </x:c>
      <x:c r="P12" s="28" t="str">
        <x:v>Numeric reduction target and initial manual review pass; no named feedback instrument.</x:v>
      </x:c>
      <x:c r="Q12" s="1"/>
    </x:row>
    <x:row r="13" ht="45" customHeight="1">
      <x:c r="A13" s="25" t="str">
        <x:v>C07</x:v>
      </x:c>
      <x:c r="B13" s="26" t="str">
        <x:v>Property services</x:v>
      </x:c>
      <x:c r="C13" s="27" t="n">
        <x:v>1</x:v>
      </x:c>
      <x:c r="D13" s="27" t="n">
        <x:v>1</x:v>
      </x:c>
      <x:c r="E13" s="27" t="n">
        <x:v>1</x:v>
      </x:c>
      <x:c r="F13" s="27" t="n">
        <x:v>1</x:v>
      </x:c>
      <x:c r="G13" s="27" t="n">
        <x:v>1</x:v>
      </x:c>
      <x:c r="H13" s="27" t="n">
        <x:f>SUM(C13:G13)</x:f>
        <x:v>5</x:v>
      </x:c>
      <x:c r="I13" s="27" t="n">
        <x:v>1</x:v>
      </x:c>
      <x:c r="J13" s="27" t="n">
        <x:v>1</x:v>
      </x:c>
      <x:c r="K13" s="27" t="n">
        <x:v>1</x:v>
      </x:c>
      <x:c r="L13" s="27" t="n">
        <x:v>1</x:v>
      </x:c>
      <x:c r="M13" s="27" t="n">
        <x:v>0</x:v>
      </x:c>
      <x:c r="N13" s="27" t="n">
        <x:f>SUM(I13:M13)</x:f>
        <x:v>4</x:v>
      </x:c>
      <x:c r="O13" s="27" t="n">
        <x:f>H13-N13</x:f>
        <x:v>1</x:v>
      </x:c>
      <x:c r="P13" s="28" t="str">
        <x:v>Numeric comparisons and coordinator ratings pass; no approval checkpoint.</x:v>
      </x:c>
      <x:c r="Q13" s="1"/>
    </x:row>
    <x:row r="14" ht="45" customHeight="1">
      <x:c r="A14" s="25" t="str">
        <x:v>C08</x:v>
      </x:c>
      <x:c r="B14" s="26" t="str">
        <x:v>Wholesale</x:v>
      </x:c>
      <x:c r="C14" s="27" t="n">
        <x:v>1</x:v>
      </x:c>
      <x:c r="D14" s="27" t="n">
        <x:v>1</x:v>
      </x:c>
      <x:c r="E14" s="27" t="n">
        <x:v>1</x:v>
      </x:c>
      <x:c r="F14" s="27" t="n">
        <x:v>1</x:v>
      </x:c>
      <x:c r="G14" s="27" t="n">
        <x:v>1</x:v>
      </x:c>
      <x:c r="H14" s="27" t="n">
        <x:f>SUM(C14:G14)</x:f>
        <x:v>5</x:v>
      </x:c>
      <x:c r="I14" s="27" t="n">
        <x:v>1</x:v>
      </x:c>
      <x:c r="J14" s="27" t="n">
        <x:v>1</x:v>
      </x:c>
      <x:c r="K14" s="27" t="n">
        <x:v>0</x:v>
      </x:c>
      <x:c r="L14" s="27" t="n">
        <x:v>0</x:v>
      </x:c>
      <x:c r="M14" s="27" t="n">
        <x:v>0</x:v>
      </x:c>
      <x:c r="N14" s="27" t="n">
        <x:f>SUM(I14:M14)</x:f>
        <x:v>2</x:v>
      </x:c>
      <x:c r="O14" s="27" t="n">
        <x:f>H14-N14</x:f>
        <x:v>3</x:v>
      </x:c>
      <x:c r="P14" s="28" t="str">
        <x:v>No numeric target/baseline, named instrument, or approval checkpoint.</x:v>
      </x:c>
      <x:c r="Q14" s="1"/>
    </x:row>
    <x:row r="15" ht="45" customHeight="1">
      <x:c r="A15" s="25" t="str">
        <x:v>C09</x:v>
      </x:c>
      <x:c r="B15" s="26" t="str">
        <x:v>Publishing</x:v>
      </x:c>
      <x:c r="C15" s="27" t="n">
        <x:v>1</x:v>
      </x:c>
      <x:c r="D15" s="27" t="n">
        <x:v>1</x:v>
      </x:c>
      <x:c r="E15" s="27" t="n">
        <x:v>1</x:v>
      </x:c>
      <x:c r="F15" s="27" t="n">
        <x:v>1</x:v>
      </x:c>
      <x:c r="G15" s="27" t="n">
        <x:v>1</x:v>
      </x:c>
      <x:c r="H15" s="27" t="n">
        <x:f>SUM(C15:G15)</x:f>
        <x:v>5</x:v>
      </x:c>
      <x:c r="I15" s="27" t="n">
        <x:v>1</x:v>
      </x:c>
      <x:c r="J15" s="27" t="n">
        <x:v>1</x:v>
      </x:c>
      <x:c r="K15" s="27" t="n">
        <x:v>1</x:v>
      </x:c>
      <x:c r="L15" s="27" t="n">
        <x:v>0</x:v>
      </x:c>
      <x:c r="M15" s="27" t="n">
        <x:v>1</x:v>
      </x:c>
      <x:c r="N15" s="27" t="n">
        <x:f>SUM(I15:M15)</x:f>
        <x:v>4</x:v>
      </x:c>
      <x:c r="O15" s="27" t="n">
        <x:f>H15-N15</x:f>
        <x:v>1</x:v>
      </x:c>
      <x:c r="P15" s="28" t="str">
        <x:v>Numeric reductions and mandatory editor review pass; no named feedback instrument.</x:v>
      </x:c>
      <x:c r="Q15" s="1"/>
    </x:row>
    <x:row r="16" ht="45" customHeight="1">
      <x:c r="A16" s="29" t="str">
        <x:v>C10</x:v>
      </x:c>
      <x:c r="B16" s="30" t="str">
        <x:v>Events</x:v>
      </x:c>
      <x:c r="C16" s="31" t="n">
        <x:v>1</x:v>
      </x:c>
      <x:c r="D16" s="31" t="n">
        <x:v>1</x:v>
      </x:c>
      <x:c r="E16" s="31" t="n">
        <x:v>1</x:v>
      </x:c>
      <x:c r="F16" s="31" t="n">
        <x:v>1</x:v>
      </x:c>
      <x:c r="G16" s="31" t="n">
        <x:v>1</x:v>
      </x:c>
      <x:c r="H16" s="31" t="n">
        <x:f>SUM(C16:G16)</x:f>
        <x:v>5</x:v>
      </x:c>
      <x:c r="I16" s="31" t="n">
        <x:v>1</x:v>
      </x:c>
      <x:c r="J16" s="31" t="n">
        <x:v>1</x:v>
      </x:c>
      <x:c r="K16" s="31" t="n">
        <x:v>0</x:v>
      </x:c>
      <x:c r="L16" s="31" t="n">
        <x:v>0</x:v>
      </x:c>
      <x:c r="M16" s="31" t="n">
        <x:v>1</x:v>
      </x:c>
      <x:c r="N16" s="31" t="n">
        <x:f>SUM(I16:M16)</x:f>
        <x:v>3</x:v>
      </x:c>
      <x:c r="O16" s="31" t="n">
        <x:f>H16-N16</x:f>
        <x:v>2</x:v>
      </x:c>
      <x:c r="P16" s="32" t="str">
        <x:v>Human review precedes use; metrics lack a stated baseline and feedback has no instrument.</x:v>
      </x:c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mergeCells>
    <x:mergeCell ref="A2:P2"/>
    <x:mergeCell ref="A3:P3"/>
  </x:mergeCells>
  <x:conditionalFormatting sqref="A7:P16">
    <x:cfRule type="cellIs" dxfId="0" priority="1" operator="equal">
      <x:formula>0</x:formula>
    </x:cfRule>
  </x:conditionalFormatting>
  <x:conditionalFormatting sqref="C7:G16">
    <x:cfRule type="cellIs" dxfId="1" priority="2" operator="equal">
      <x:formula>1</x:formula>
    </x:cfRule>
  </x:conditionalFormatting>
  <x:conditionalFormatting sqref="I7:M16">
    <x:cfRule type="cellIs" dxfId="2" priority="3" operator="equal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AA6BF"/>
  </x:sheetPr>
  <x:sheetViews>
    <x:sheetView showGridLines="0" workbookViewId="0"/>
  </x:sheetViews>
  <x:sheetFormatPr defaultRowHeight="15"/>
  <x:cols>
    <x:col min="1" max="1" width="26" hidden="0" customWidth="1"/>
    <x:col min="2" max="2" width="8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Evaluation rubric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34" t="str">
        <x:v>Criterion</x:v>
      </x:c>
      <x:c r="B4" s="34" t="str">
        <x:v>Score 1 definition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4" customHeight="1">
      <x:c r="A5" s="47" t="str">
        <x:v>Test group named</x:v>
      </x:c>
      <x:c r="B5" s="48" t="str">
        <x:v>Specific participant role plus a number or unambiguous group size.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4" customHeight="1">
      <x:c r="A6" s="49" t="str">
        <x:v>Stages dated</x:v>
      </x:c>
      <x:c r="B6" s="50" t="str">
        <x:v>At least two stages each include a calendar date, explicit deadline, or numbered week/day.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4" customHeight="1">
      <x:c r="A7" s="49" t="str">
        <x:v>Success metric</x:v>
      </x:c>
      <x:c r="B7" s="50" t="str">
        <x:v>A measurable numeric target and a stated baseline or comparison.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4" customHeight="1">
      <x:c r="A8" s="49" t="str">
        <x:v>Feedback instrument</x:v>
      </x:c>
      <x:c r="B8" s="50" t="str">
        <x:v>A named instrument, such as a survey, interview, questionnaire, or rating form, plus who or when.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34" customHeight="1">
      <x:c r="A9" s="51" t="str">
        <x:v>Human checkpoint</x:v>
      </x:c>
      <x:c r="B9" s="52" t="str">
        <x:v>Explicit human review or approval is required before implementation or rollout.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54" t="str">
        <x:v>Method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8" customHeight="1">
      <x:c r="A12" s="21" t="str">
        <x:v>The same 10 synthetic SME cases were run through (A) the structured form plus fixed system prompt and (B) a direct raw-model request with no system prompt or output schema. The initial automated judge was retained in evaluation_results.json as an audit trail, but it was too lenient on several raw outputs. The scores in this workbook are the final strict manual adjudication against the definitions above.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mergeCells>
    <x:mergeCell ref="A2:B2"/>
    <x:mergeCell ref="A11:B11"/>
    <x:mergeCell ref="A12:B14"/>
  </x:mergeCells>
  <x:pageMargins left="0.7" right="0.7" top="0.75" bottom="0.75" header="0.3" footer="0.3"/>
</x:worksheet>
</file>